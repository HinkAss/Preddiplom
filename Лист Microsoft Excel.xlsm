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HInko\Desktop\"/>
    </mc:Choice>
  </mc:AlternateContent>
  <xr:revisionPtr revIDLastSave="0" documentId="13_ncr:1_{101C3499-78BD-4322-BCC2-B425ECDE70A5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Students" sheetId="1" r:id="rId1"/>
    <sheet name="Otchet" sheetId="8" r:id="rId2"/>
    <sheet name="Materials" sheetId="7" r:id="rId3"/>
    <sheet name="Company" sheetId="3" state="veryHidden" r:id="rId4"/>
    <sheet name="Authorization" sheetId="4" r:id="rId5"/>
  </sheets>
  <definedNames>
    <definedName name="Otchet">Otchet!$A$1:$C$5</definedName>
    <definedName name="student">Table1[#All]</definedName>
    <definedName name="Students">#REF!</definedName>
    <definedName name="table">Table1[Фамилия]</definedName>
    <definedName name="Tes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8" l="1"/>
  <c r="C4" i="8"/>
  <c r="C3" i="8"/>
  <c r="C2" i="8"/>
</calcChain>
</file>

<file path=xl/sharedStrings.xml><?xml version="1.0" encoding="utf-8"?>
<sst xmlns="http://schemas.openxmlformats.org/spreadsheetml/2006/main" count="140" uniqueCount="98">
  <si>
    <t>Фамилия</t>
  </si>
  <si>
    <t>Имя</t>
  </si>
  <si>
    <t>Отчество</t>
  </si>
  <si>
    <t>Факультет</t>
  </si>
  <si>
    <t>Группа</t>
  </si>
  <si>
    <t>Курс</t>
  </si>
  <si>
    <t>Название</t>
  </si>
  <si>
    <t>Сфера деятельности</t>
  </si>
  <si>
    <t>Контактная информация</t>
  </si>
  <si>
    <t>Адрес</t>
  </si>
  <si>
    <t>Вегеле</t>
  </si>
  <si>
    <t>Login</t>
  </si>
  <si>
    <t>Password</t>
  </si>
  <si>
    <t>Role</t>
  </si>
  <si>
    <t>teacher</t>
  </si>
  <si>
    <t>student</t>
  </si>
  <si>
    <t>Артем</t>
  </si>
  <si>
    <t>Петрович</t>
  </si>
  <si>
    <t>ФИЦТ</t>
  </si>
  <si>
    <t>АПО-20-1</t>
  </si>
  <si>
    <t>Оценка</t>
  </si>
  <si>
    <t>Ссылка на материал</t>
  </si>
  <si>
    <t>Название материала</t>
  </si>
  <si>
    <t>Учебник JavaScript</t>
  </si>
  <si>
    <t>https://coderlessons.com/tutorials/veb-razrabotka/uchebnik-javascript/uchebnik-javascript</t>
  </si>
  <si>
    <t>Google</t>
  </si>
  <si>
    <t>поисковые системы, интернет-маркетинг, облачные технологии, социальные сети</t>
  </si>
  <si>
    <t>https://www.google.com/contact/</t>
  </si>
  <si>
    <t>1600 Amphitheatre Parkway, Mountain View, CA 94043, USA</t>
  </si>
  <si>
    <t>Apple</t>
  </si>
  <si>
    <t>компьютерная техника, программное обеспечение, электроника, мультимедиакомпьютерная техника, программное обеспечение, электроника, мультимедиа</t>
  </si>
  <si>
    <t>One Apple Park Way, Cupertino, CA 95014, USA</t>
  </si>
  <si>
    <t>https://www.apple.com/contact/</t>
  </si>
  <si>
    <t>Microsoft</t>
  </si>
  <si>
    <t>One Microsoft Way, Redmond, WA 98052, USA</t>
  </si>
  <si>
    <t>программное обеспечение, облачные технологии, игры, электроника</t>
  </si>
  <si>
    <t>https://www.microsoft.com/en-us/contactus/</t>
  </si>
  <si>
    <t>Amazon</t>
  </si>
  <si>
    <t>410 Terry Ave N, Seattle, WA 98109, USA</t>
  </si>
  <si>
    <t>интернет-торговля, облачные технологии, разработка программного обеспечения</t>
  </si>
  <si>
    <t>https://www.amazon.com/gp/help/customer/display.html/</t>
  </si>
  <si>
    <t>IBM</t>
  </si>
  <si>
    <t>1 New Orchard Rd, Armonk, NY 10504, USA</t>
  </si>
  <si>
    <t>информационные технологии, облачные технологии, искусственный интеллект, аналитика данных</t>
  </si>
  <si>
    <t>https://www.ibm.com/contact/</t>
  </si>
  <si>
    <t>C# разработка</t>
  </si>
  <si>
    <t>https://metanit.com/sharp/</t>
  </si>
  <si>
    <t>Руководство по Python</t>
  </si>
  <si>
    <t>https://metanit.com/python/</t>
  </si>
  <si>
    <t>Руководство Django</t>
  </si>
  <si>
    <t>https://metanit.com/python/django/</t>
  </si>
  <si>
    <t xml:space="preserve">Богатырев </t>
  </si>
  <si>
    <t>Вадим</t>
  </si>
  <si>
    <t>Анатольевич</t>
  </si>
  <si>
    <t>Попов</t>
  </si>
  <si>
    <t>Михаил</t>
  </si>
  <si>
    <t>Алексеевич</t>
  </si>
  <si>
    <t>Беляева</t>
  </si>
  <si>
    <t>Анастасия</t>
  </si>
  <si>
    <t>Дмитриевна</t>
  </si>
  <si>
    <t>Кузнецова</t>
  </si>
  <si>
    <t xml:space="preserve">Ирина </t>
  </si>
  <si>
    <t>Анатольевна</t>
  </si>
  <si>
    <t>Григорьева</t>
  </si>
  <si>
    <t>Вячеславовна</t>
  </si>
  <si>
    <t>Николев</t>
  </si>
  <si>
    <t>Сергей</t>
  </si>
  <si>
    <t>Игоревич</t>
  </si>
  <si>
    <t>Петрова</t>
  </si>
  <si>
    <t>Владимировна</t>
  </si>
  <si>
    <t>АПО-22</t>
  </si>
  <si>
    <t>МС-20</t>
  </si>
  <si>
    <t>АПО-21</t>
  </si>
  <si>
    <t>Всетлана</t>
  </si>
  <si>
    <t>Катя</t>
  </si>
  <si>
    <t>АПО-19</t>
  </si>
  <si>
    <t>Алексеев</t>
  </si>
  <si>
    <t>Сергей </t>
  </si>
  <si>
    <t>Сергеевич</t>
  </si>
  <si>
    <t>Волков </t>
  </si>
  <si>
    <t>Константин </t>
  </si>
  <si>
    <t>Константинович</t>
  </si>
  <si>
    <t>Морозов </t>
  </si>
  <si>
    <t>Евгений </t>
  </si>
  <si>
    <t>Попов </t>
  </si>
  <si>
    <t>Владимир </t>
  </si>
  <si>
    <t>Кузнецов </t>
  </si>
  <si>
    <t>Андрей </t>
  </si>
  <si>
    <t>Андреевич</t>
  </si>
  <si>
    <t>Смирнов </t>
  </si>
  <si>
    <t>Алексей </t>
  </si>
  <si>
    <t>Сидоров </t>
  </si>
  <si>
    <t>Петр </t>
  </si>
  <si>
    <t>Александрович</t>
  </si>
  <si>
    <t>Михайлов </t>
  </si>
  <si>
    <t>Иван </t>
  </si>
  <si>
    <t>Евгеньевич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</si>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</sst>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egoe UI"/>
      <family val="2"/>
      <charset val="204"/>
    </font>
    <font>
      <sz val="10"/>
      <color rgb="FF111111"/>
      <name val="Roboto"/>
    </font>
    <font>
      <sz val="10"/>
      <color theme="1"/>
      <name val="Roboto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0" xfId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3" fillId="0" borderId="1" xfId="0" applyFont="1" applyBorder="1"/>
    <xf numFmtId="0" fontId="5" fillId="0" borderId="5" xfId="0" applyFont="1" applyBorder="1"/>
    <xf numFmtId="0" fontId="0" fillId="0" borderId="7" xfId="0" applyBorder="1" applyAlignment="1">
      <alignment wrapText="1"/>
    </xf>
    <xf numFmtId="0" fontId="3" fillId="0" borderId="5" xfId="0" applyFont="1" applyBorder="1"/>
    <xf numFmtId="0" fontId="4" fillId="0" borderId="1" xfId="0" applyFont="1" applyBorder="1"/>
  </cellXfs>
  <cellStyles count="2">
    <cellStyle name="Гиперссылка" xfId="1" builtinId="8"/>
    <cellStyle name="Обычный" xfId="0" builtinId="0"/>
  </cellStyles>
  <dxfs count="13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theme="1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успеваемости учеников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Otchet!$B$1</c:f>
              <c:strCache>
                <c:ptCount val="1"/>
                <c:pt idx="0">
                  <c:v>Курс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Otchet!$A$2:$A$5</c:f>
              <c:strCache>
                <c:ptCount val="4"/>
                <c:pt idx="0">
                  <c:v>АПО-20-1</c:v>
                </c:pt>
                <c:pt idx="1">
                  <c:v>АПО-19</c:v>
                </c:pt>
                <c:pt idx="2">
                  <c:v>АПО-21</c:v>
                </c:pt>
                <c:pt idx="3">
                  <c:v>МС-20</c:v>
                </c:pt>
              </c:strCache>
            </c:strRef>
          </c:cat>
          <c:val>
            <c:numRef>
              <c:f>Otchet!$B$2:$B$5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BF4-B9BF-C8956C4C7FDB}"/>
            </c:ext>
          </c:extLst>
        </c:ser>
        <c:ser>
          <c:idx val="1"/>
          <c:order val="1"/>
          <c:tx>
            <c:strRef>
              <c:f>Otchet!$C$1</c:f>
              <c:strCache>
                <c:ptCount val="1"/>
                <c:pt idx="0">
                  <c:v>Оценка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Otchet!$A$2:$A$5</c:f>
              <c:strCache>
                <c:ptCount val="4"/>
                <c:pt idx="0">
                  <c:v>АПО-20-1</c:v>
                </c:pt>
                <c:pt idx="1">
                  <c:v>АПО-19</c:v>
                </c:pt>
                <c:pt idx="2">
                  <c:v>АПО-21</c:v>
                </c:pt>
                <c:pt idx="3">
                  <c:v>МС-20</c:v>
                </c:pt>
              </c:strCache>
            </c:strRef>
          </c:cat>
          <c:val>
            <c:numRef>
              <c:f>Otchet!$C$2:$C$5</c:f>
              <c:numCache>
                <c:formatCode>General</c:formatCode>
                <c:ptCount val="4"/>
                <c:pt idx="0">
                  <c:v>4</c:v>
                </c:pt>
                <c:pt idx="1">
                  <c:v>3.8</c:v>
                </c:pt>
                <c:pt idx="2">
                  <c:v>4.25</c:v>
                </c:pt>
                <c:pt idx="3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B-4BF4-B9BF-C8956C4C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2913583"/>
        <c:axId val="912913103"/>
      </c:barChart>
      <c:catAx>
        <c:axId val="91291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2913103"/>
        <c:crosses val="autoZero"/>
        <c:auto val="1"/>
        <c:lblAlgn val="ctr"/>
        <c:lblOffset val="100"/>
        <c:noMultiLvlLbl val="0"/>
      </c:catAx>
      <c:valAx>
        <c:axId val="91291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2913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792480</xdr:colOff>
      <xdr:row>7</xdr:row>
      <xdr:rowOff>15240</xdr:rowOff>
    </xdr:from>
    <xdr:to>
      <xdr:col>19</xdr:col>
      <xdr:colOff>170180</xdr:colOff>
      <xdr:row>28</xdr:row>
      <xdr:rowOff>124460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6E5F9ED-531F-4D0D-1D92-F307B10E7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D3FD57-BB4F-42A8-B901-440FC56C4B5E}" name="Table1" displayName="Table1" ref="A1:G19" totalsRowShown="0" headerRowDxfId="12" dataDxfId="10" headerRowBorderDxfId="11" tableBorderDxfId="9" totalsRowBorderDxfId="8">
  <autoFilter ref="A1:G19" xr:uid="{B3D3FD57-BB4F-42A8-B901-440FC56C4B5E}"/>
  <tableColumns count="7">
    <tableColumn id="1" xr3:uid="{3B648D8C-7EED-412C-80A9-46CA596B1150}" name="Фамилия" dataDxfId="7"/>
    <tableColumn id="2" xr3:uid="{F3823160-541B-4A18-AEF3-2CD7F54E83DB}" name="Имя" dataDxfId="6"/>
    <tableColumn id="3" xr3:uid="{5912B95E-7A5C-4943-8BEC-15FF1B98397F}" name="Отчество" dataDxfId="5"/>
    <tableColumn id="4" xr3:uid="{265C326A-403A-4CF0-886B-6CBA505B4F59}" name="Факультет" dataDxfId="4"/>
    <tableColumn id="5" xr3:uid="{2F7A8565-66C1-42DE-B71D-E94A4EB39C8B}" name="Группа" dataDxfId="3"/>
    <tableColumn id="6" xr3:uid="{2B46C705-E1D8-40D8-ACF2-E53BA1B667D5}" name="Курс" dataDxfId="2"/>
    <tableColumn id="7" xr3:uid="{0C556EBD-3916-4BF0-BA56-625D3892606D}" name="Оценка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B61820-296A-40B2-886A-0FA95886D8F0}" name="Таблица1" displayName="Таблица1" ref="A1:C5" totalsRowShown="0">
  <autoFilter ref="A1:C5" xr:uid="{25B61820-296A-40B2-886A-0FA95886D8F0}"/>
  <tableColumns count="3">
    <tableColumn id="1" xr3:uid="{0A45C2E0-2527-4119-9AD3-2AC20BEA1E4B}" name="Группа"/>
    <tableColumn id="2" xr3:uid="{BA4CAD72-8BF0-4E4A-9726-3CF57724850A}" name="Курс"/>
    <tableColumn id="3" xr3:uid="{03DC6AF0-85AF-4A57-899F-0BA87AABABEB}" name="Оценка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FD77D9-7960-4E92-B0D0-2337C3D9F6D1}" name="Materials" displayName="Materials" ref="A1:B5" totalsRowShown="0">
  <autoFilter ref="A1:B5" xr:uid="{B5FD77D9-7960-4E92-B0D0-2337C3D9F6D1}"/>
  <tableColumns count="2">
    <tableColumn id="1" xr3:uid="{1F125D1B-D91C-479E-8BF2-83A8AFC52EBE}" name="Название материала"/>
    <tableColumn id="2" xr3:uid="{AF8FDB7A-D4C0-4A6A-B4EF-34C1EE83FF33}" name="Ссылка на материал" dataCellStyle="Гиперссылка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359CB4-6AD5-4A68-A69A-289EABBEBC38}" name="Company" displayName="Company" ref="A1:D6" totalsRowShown="0" headerRowDxfId="0">
  <autoFilter ref="A1:D6" xr:uid="{2D359CB4-6AD5-4A68-A69A-289EABBEBC38}"/>
  <tableColumns count="4">
    <tableColumn id="1" xr3:uid="{2D971436-D94B-4327-848A-C5D48EAECF64}" name="Название"/>
    <tableColumn id="2" xr3:uid="{2154846A-A59B-4AD1-B4EF-4032DCD676C4}" name="Сфера деятельности"/>
    <tableColumn id="3" xr3:uid="{E2C808D3-1907-4AB0-90AA-BD88F2E2512D}" name="Контактная информация"/>
    <tableColumn id="4" xr3:uid="{1F79D51F-C680-4DDC-8363-819F069618EB}" name="Адре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metanit.com/python/" TargetMode="External"/><Relationship Id="rId2" Type="http://schemas.openxmlformats.org/officeDocument/2006/relationships/hyperlink" Target="https://metanit.com/sharp/" TargetMode="External"/><Relationship Id="rId1" Type="http://schemas.openxmlformats.org/officeDocument/2006/relationships/hyperlink" Target="https://coderlessons.com/tutorials/veb-razrabotka/uchebnik-javascript/uchebnik-javascript" TargetMode="External"/><Relationship Id="rId5" Type="http://schemas.openxmlformats.org/officeDocument/2006/relationships/table" Target="../tables/table3.xml"/><Relationship Id="rId4" Type="http://schemas.openxmlformats.org/officeDocument/2006/relationships/hyperlink" Target="https://metanit.com/python/djang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icrosoft.com/en-us/contactus/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apple.com/contact/" TargetMode="External"/><Relationship Id="rId1" Type="http://schemas.openxmlformats.org/officeDocument/2006/relationships/hyperlink" Target="https://www.google.com/contact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ibm.com/contact/" TargetMode="External"/><Relationship Id="rId4" Type="http://schemas.openxmlformats.org/officeDocument/2006/relationships/hyperlink" Target="https://www.amazon.com/gp/help/customer/display.htm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G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4.88671875" customWidth="1"/>
    <col min="2" max="2" width="18.33203125" customWidth="1"/>
    <col min="3" max="3" width="15.6640625" customWidth="1"/>
    <col min="4" max="4" width="12.6640625" customWidth="1"/>
    <col min="5" max="5" width="9.109375" customWidth="1"/>
  </cols>
  <sheetData>
    <row r="1" spans="1:7" x14ac:dyDescent="0.3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20</v>
      </c>
    </row>
    <row r="2" spans="1:7" x14ac:dyDescent="0.3">
      <c r="A2" s="7" t="s">
        <v>10</v>
      </c>
      <c r="B2" s="8" t="s">
        <v>16</v>
      </c>
      <c r="C2" s="8" t="s">
        <v>17</v>
      </c>
      <c r="D2" s="8" t="s">
        <v>18</v>
      </c>
      <c r="E2" s="8" t="s">
        <v>19</v>
      </c>
      <c r="F2" s="8">
        <v>3</v>
      </c>
      <c r="G2" s="9">
        <v>4</v>
      </c>
    </row>
    <row r="3" spans="1:7" x14ac:dyDescent="0.3">
      <c r="A3" s="7" t="s">
        <v>51</v>
      </c>
      <c r="B3" s="8" t="s">
        <v>52</v>
      </c>
      <c r="C3" s="8" t="s">
        <v>53</v>
      </c>
      <c r="D3" s="8" t="s">
        <v>18</v>
      </c>
      <c r="E3" s="8" t="s">
        <v>75</v>
      </c>
      <c r="F3" s="8">
        <v>4</v>
      </c>
      <c r="G3" s="9">
        <v>4</v>
      </c>
    </row>
    <row r="4" spans="1:7" ht="15" x14ac:dyDescent="0.35">
      <c r="A4" s="15" t="s">
        <v>54</v>
      </c>
      <c r="B4" s="12" t="s">
        <v>55</v>
      </c>
      <c r="C4" s="12" t="s">
        <v>56</v>
      </c>
      <c r="D4" s="8" t="s">
        <v>18</v>
      </c>
      <c r="E4" s="8" t="s">
        <v>19</v>
      </c>
      <c r="F4" s="8">
        <v>3</v>
      </c>
      <c r="G4" s="9">
        <v>3</v>
      </c>
    </row>
    <row r="5" spans="1:7" ht="15" x14ac:dyDescent="0.35">
      <c r="A5" s="15" t="s">
        <v>57</v>
      </c>
      <c r="B5" s="8" t="s">
        <v>58</v>
      </c>
      <c r="C5" s="8" t="s">
        <v>59</v>
      </c>
      <c r="D5" s="8" t="s">
        <v>18</v>
      </c>
      <c r="E5" s="8" t="s">
        <v>71</v>
      </c>
      <c r="F5" s="8">
        <v>3</v>
      </c>
      <c r="G5" s="9">
        <v>2</v>
      </c>
    </row>
    <row r="6" spans="1:7" x14ac:dyDescent="0.3">
      <c r="A6" s="7" t="s">
        <v>60</v>
      </c>
      <c r="B6" s="8" t="s">
        <v>61</v>
      </c>
      <c r="C6" s="8" t="s">
        <v>62</v>
      </c>
      <c r="D6" s="8" t="s">
        <v>18</v>
      </c>
      <c r="E6" s="8" t="s">
        <v>75</v>
      </c>
      <c r="F6" s="8">
        <v>4</v>
      </c>
      <c r="G6" s="9">
        <v>4</v>
      </c>
    </row>
    <row r="7" spans="1:7" x14ac:dyDescent="0.3">
      <c r="A7" s="7" t="s">
        <v>63</v>
      </c>
      <c r="B7" s="8" t="s">
        <v>74</v>
      </c>
      <c r="C7" s="8" t="s">
        <v>64</v>
      </c>
      <c r="D7" s="8" t="s">
        <v>18</v>
      </c>
      <c r="E7" s="8" t="s">
        <v>72</v>
      </c>
      <c r="F7" s="8">
        <v>2</v>
      </c>
      <c r="G7" s="9">
        <v>4</v>
      </c>
    </row>
    <row r="8" spans="1:7" x14ac:dyDescent="0.3">
      <c r="A8" s="7" t="s">
        <v>65</v>
      </c>
      <c r="B8" s="8" t="s">
        <v>66</v>
      </c>
      <c r="C8" s="8" t="s">
        <v>67</v>
      </c>
      <c r="D8" s="8" t="s">
        <v>18</v>
      </c>
      <c r="E8" s="8" t="s">
        <v>72</v>
      </c>
      <c r="F8" s="8">
        <v>2</v>
      </c>
      <c r="G8" s="9">
        <v>4</v>
      </c>
    </row>
    <row r="9" spans="1:7" x14ac:dyDescent="0.3">
      <c r="A9" s="7" t="s">
        <v>68</v>
      </c>
      <c r="B9" s="8" t="s">
        <v>73</v>
      </c>
      <c r="C9" s="8" t="s">
        <v>69</v>
      </c>
      <c r="D9" s="8" t="s">
        <v>18</v>
      </c>
      <c r="E9" s="8" t="s">
        <v>70</v>
      </c>
      <c r="F9" s="8">
        <v>1</v>
      </c>
      <c r="G9" s="9">
        <v>5</v>
      </c>
    </row>
    <row r="10" spans="1:7" x14ac:dyDescent="0.3">
      <c r="A10" s="7" t="s">
        <v>10</v>
      </c>
      <c r="B10" s="8" t="s">
        <v>16</v>
      </c>
      <c r="C10" s="8" t="s">
        <v>17</v>
      </c>
      <c r="D10" s="8" t="s">
        <v>18</v>
      </c>
      <c r="E10" s="8" t="s">
        <v>75</v>
      </c>
      <c r="F10" s="8">
        <v>4</v>
      </c>
      <c r="G10" s="9">
        <v>3</v>
      </c>
    </row>
    <row r="11" spans="1:7" x14ac:dyDescent="0.3">
      <c r="A11" s="7" t="s">
        <v>76</v>
      </c>
      <c r="B11" s="16" t="s">
        <v>77</v>
      </c>
      <c r="C11" s="16" t="s">
        <v>78</v>
      </c>
      <c r="D11" s="8" t="s">
        <v>18</v>
      </c>
      <c r="E11" s="8" t="s">
        <v>19</v>
      </c>
      <c r="F11" s="8">
        <v>2</v>
      </c>
      <c r="G11" s="9">
        <v>4</v>
      </c>
    </row>
    <row r="12" spans="1:7" x14ac:dyDescent="0.3">
      <c r="A12" s="13" t="s">
        <v>79</v>
      </c>
      <c r="B12" s="16" t="s">
        <v>80</v>
      </c>
      <c r="C12" s="16" t="s">
        <v>81</v>
      </c>
      <c r="D12" s="8" t="s">
        <v>18</v>
      </c>
      <c r="E12" s="8" t="s">
        <v>75</v>
      </c>
      <c r="F12" s="8">
        <v>3</v>
      </c>
      <c r="G12" s="9">
        <v>4</v>
      </c>
    </row>
    <row r="13" spans="1:7" x14ac:dyDescent="0.3">
      <c r="A13" s="13" t="s">
        <v>82</v>
      </c>
      <c r="B13" s="16" t="s">
        <v>83</v>
      </c>
      <c r="C13" s="8" t="s">
        <v>17</v>
      </c>
      <c r="D13" s="8" t="s">
        <v>18</v>
      </c>
      <c r="E13" s="8" t="s">
        <v>19</v>
      </c>
      <c r="F13" s="8">
        <v>3</v>
      </c>
      <c r="G13" s="9">
        <v>5</v>
      </c>
    </row>
    <row r="14" spans="1:7" x14ac:dyDescent="0.3">
      <c r="A14" s="13" t="s">
        <v>84</v>
      </c>
      <c r="B14" s="16" t="s">
        <v>85</v>
      </c>
      <c r="C14" s="16" t="s">
        <v>85</v>
      </c>
      <c r="D14" s="8" t="s">
        <v>18</v>
      </c>
      <c r="E14" s="8" t="s">
        <v>71</v>
      </c>
      <c r="F14" s="8">
        <v>3</v>
      </c>
      <c r="G14" s="9">
        <v>3</v>
      </c>
    </row>
    <row r="15" spans="1:7" x14ac:dyDescent="0.3">
      <c r="A15" s="13" t="s">
        <v>86</v>
      </c>
      <c r="B15" s="16" t="s">
        <v>87</v>
      </c>
      <c r="C15" s="16" t="s">
        <v>88</v>
      </c>
      <c r="D15" s="8" t="s">
        <v>18</v>
      </c>
      <c r="E15" s="8" t="s">
        <v>75</v>
      </c>
      <c r="F15" s="8">
        <v>4</v>
      </c>
      <c r="G15" s="9">
        <v>4</v>
      </c>
    </row>
    <row r="16" spans="1:7" x14ac:dyDescent="0.3">
      <c r="A16" s="13" t="s">
        <v>89</v>
      </c>
      <c r="B16" s="16" t="s">
        <v>90</v>
      </c>
      <c r="C16" s="8" t="s">
        <v>67</v>
      </c>
      <c r="D16" s="8" t="s">
        <v>18</v>
      </c>
      <c r="E16" s="8" t="s">
        <v>72</v>
      </c>
      <c r="F16" s="8">
        <v>2</v>
      </c>
      <c r="G16" s="9">
        <v>5</v>
      </c>
    </row>
    <row r="17" spans="1:7" x14ac:dyDescent="0.3">
      <c r="A17" s="13" t="s">
        <v>91</v>
      </c>
      <c r="B17" s="16" t="s">
        <v>92</v>
      </c>
      <c r="C17" s="16" t="s">
        <v>93</v>
      </c>
      <c r="D17" s="8" t="s">
        <v>18</v>
      </c>
      <c r="E17" s="8" t="s">
        <v>72</v>
      </c>
      <c r="F17" s="8">
        <v>2</v>
      </c>
      <c r="G17" s="9">
        <v>4</v>
      </c>
    </row>
    <row r="18" spans="1:7" x14ac:dyDescent="0.3">
      <c r="A18" s="13" t="s">
        <v>94</v>
      </c>
      <c r="B18" s="16" t="s">
        <v>95</v>
      </c>
      <c r="C18" s="16" t="s">
        <v>96</v>
      </c>
      <c r="D18" s="8" t="s">
        <v>18</v>
      </c>
      <c r="E18" s="8" t="s">
        <v>70</v>
      </c>
      <c r="F18" s="8">
        <v>1</v>
      </c>
      <c r="G18" s="9">
        <v>5</v>
      </c>
    </row>
    <row r="19" spans="1:7" x14ac:dyDescent="0.3">
      <c r="A19" s="14"/>
      <c r="B19" s="10"/>
      <c r="C19" s="10"/>
      <c r="D19" s="10"/>
      <c r="E19" s="10"/>
      <c r="F19" s="10"/>
      <c r="G19" s="11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AC8DD-EFC8-4F17-9320-F2D15BC2169D}">
  <sheetPr codeName="Лист3"/>
  <dimension ref="A1:C5"/>
  <sheetViews>
    <sheetView workbookViewId="0">
      <selection sqref="A1:C5"/>
    </sheetView>
  </sheetViews>
  <sheetFormatPr defaultRowHeight="14.4" x14ac:dyDescent="0.3"/>
  <cols>
    <col min="1" max="1" width="9.109375" customWidth="1"/>
    <col min="3" max="3" width="9.44140625" customWidth="1"/>
    <col min="4" max="4" width="11.33203125" bestFit="1" customWidth="1"/>
    <col min="5" max="5" width="19.6640625" bestFit="1" customWidth="1"/>
    <col min="6" max="6" width="22.21875" bestFit="1" customWidth="1"/>
  </cols>
  <sheetData>
    <row r="1" spans="1:3" x14ac:dyDescent="0.3">
      <c r="A1" t="s">
        <v>4</v>
      </c>
      <c r="B1" t="s">
        <v>5</v>
      </c>
      <c r="C1" t="s">
        <v>20</v>
      </c>
    </row>
    <row r="2" spans="1:3" x14ac:dyDescent="0.3">
      <c r="A2" t="s">
        <v>19</v>
      </c>
      <c r="B2">
        <v>3</v>
      </c>
      <c r="C2">
        <f>AVERAGEIF(Students!E2:E19,"АПО-20-1",Students!G2:G19)</f>
        <v>4</v>
      </c>
    </row>
    <row r="3" spans="1:3" x14ac:dyDescent="0.3">
      <c r="A3" t="s">
        <v>75</v>
      </c>
      <c r="B3">
        <v>3</v>
      </c>
      <c r="C3">
        <f>AVERAGEIF(Students!E2:E19,"АПО-19",Students!G2:G19)</f>
        <v>3.8</v>
      </c>
    </row>
    <row r="4" spans="1:3" x14ac:dyDescent="0.3">
      <c r="A4" t="s">
        <v>72</v>
      </c>
      <c r="B4">
        <v>2</v>
      </c>
      <c r="C4">
        <f>AVERAGEIF(Students!E2:E19,"АПО-21",Students!G2:G19)</f>
        <v>4.25</v>
      </c>
    </row>
    <row r="5" spans="1:3" x14ac:dyDescent="0.3">
      <c r="A5" t="s">
        <v>71</v>
      </c>
      <c r="B5">
        <v>3</v>
      </c>
      <c r="C5">
        <f>AVERAGEIF(Students!E2:E19,"МС-20",Students!G2:G19)</f>
        <v>2.5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3D78-0CE3-4915-85D1-079C0EF1D6FB}">
  <sheetPr codeName="Лист7"/>
  <dimension ref="A1:B5"/>
  <sheetViews>
    <sheetView workbookViewId="0">
      <selection activeCell="B14" sqref="B14"/>
    </sheetView>
  </sheetViews>
  <sheetFormatPr defaultRowHeight="14.4" x14ac:dyDescent="0.3"/>
  <cols>
    <col min="1" max="1" width="21.109375" customWidth="1"/>
    <col min="2" max="2" width="77.109375" customWidth="1"/>
  </cols>
  <sheetData>
    <row r="1" spans="1:2" x14ac:dyDescent="0.3">
      <c r="A1" t="s">
        <v>22</v>
      </c>
      <c r="B1" t="s">
        <v>21</v>
      </c>
    </row>
    <row r="2" spans="1:2" x14ac:dyDescent="0.3">
      <c r="A2" t="s">
        <v>23</v>
      </c>
      <c r="B2" s="6" t="s">
        <v>24</v>
      </c>
    </row>
    <row r="3" spans="1:2" x14ac:dyDescent="0.3">
      <c r="A3" t="s">
        <v>45</v>
      </c>
      <c r="B3" s="6" t="s">
        <v>46</v>
      </c>
    </row>
    <row r="4" spans="1:2" x14ac:dyDescent="0.3">
      <c r="A4" t="s">
        <v>47</v>
      </c>
      <c r="B4" s="6" t="s">
        <v>48</v>
      </c>
    </row>
    <row r="5" spans="1:2" x14ac:dyDescent="0.3">
      <c r="A5" t="s">
        <v>49</v>
      </c>
      <c r="B5" s="6" t="s">
        <v>50</v>
      </c>
    </row>
  </sheetData>
  <hyperlinks>
    <hyperlink ref="B2" r:id="rId1" xr:uid="{D39B38BE-F94E-466D-A2AE-0A4531B67ED8}"/>
    <hyperlink ref="B3" r:id="rId2" xr:uid="{24FDC1EF-0EFD-492A-9EB9-73DFC6043193}"/>
    <hyperlink ref="B4" r:id="rId3" xr:uid="{C99A2053-4CD9-4578-A499-D13AFDED349E}"/>
    <hyperlink ref="B5" r:id="rId4" xr:uid="{A1B0A52A-12AE-4940-A314-439936114E9F}"/>
  </hyperlinks>
  <pageMargins left="0.7" right="0.7" top="0.75" bottom="0.75" header="0.3" footer="0.3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D4246-DF96-4C16-AFA6-7D42E5AD8565}">
  <sheetPr codeName="Лист4"/>
  <dimension ref="A1:D6"/>
  <sheetViews>
    <sheetView workbookViewId="0">
      <selection activeCell="C12" sqref="C12"/>
    </sheetView>
  </sheetViews>
  <sheetFormatPr defaultRowHeight="14.4" x14ac:dyDescent="0.3"/>
  <cols>
    <col min="1" max="1" width="11.21875" customWidth="1"/>
    <col min="2" max="2" width="20.77734375" customWidth="1"/>
    <col min="3" max="3" width="24.77734375" customWidth="1"/>
  </cols>
  <sheetData>
    <row r="1" spans="1:4" x14ac:dyDescent="0.3">
      <c r="A1" s="1" t="s">
        <v>6</v>
      </c>
      <c r="B1" s="1" t="s">
        <v>7</v>
      </c>
      <c r="C1" s="1" t="s">
        <v>8</v>
      </c>
      <c r="D1" s="1" t="s">
        <v>9</v>
      </c>
    </row>
    <row r="2" spans="1:4" x14ac:dyDescent="0.3">
      <c r="A2" t="s">
        <v>25</v>
      </c>
      <c r="B2" t="s">
        <v>26</v>
      </c>
      <c r="C2" s="6" t="s">
        <v>27</v>
      </c>
      <c r="D2" t="s">
        <v>28</v>
      </c>
    </row>
    <row r="3" spans="1:4" x14ac:dyDescent="0.3">
      <c r="A3" t="s">
        <v>29</v>
      </c>
      <c r="B3" t="s">
        <v>30</v>
      </c>
      <c r="C3" s="6" t="s">
        <v>32</v>
      </c>
      <c r="D3" t="s">
        <v>31</v>
      </c>
    </row>
    <row r="4" spans="1:4" x14ac:dyDescent="0.3">
      <c r="A4" t="s">
        <v>33</v>
      </c>
      <c r="B4" t="s">
        <v>35</v>
      </c>
      <c r="C4" s="6" t="s">
        <v>36</v>
      </c>
      <c r="D4" t="s">
        <v>34</v>
      </c>
    </row>
    <row r="5" spans="1:4" x14ac:dyDescent="0.3">
      <c r="A5" t="s">
        <v>37</v>
      </c>
      <c r="B5" t="s">
        <v>39</v>
      </c>
      <c r="C5" s="6" t="s">
        <v>40</v>
      </c>
      <c r="D5" t="s">
        <v>38</v>
      </c>
    </row>
    <row r="6" spans="1:4" x14ac:dyDescent="0.3">
      <c r="A6" t="s">
        <v>41</v>
      </c>
      <c r="B6" t="s">
        <v>43</v>
      </c>
      <c r="C6" s="6" t="s">
        <v>44</v>
      </c>
      <c r="D6" t="s">
        <v>42</v>
      </c>
    </row>
  </sheetData>
  <phoneticPr fontId="2" type="noConversion"/>
  <hyperlinks>
    <hyperlink ref="C2" r:id="rId1" xr:uid="{92F7EE25-2C00-493C-8C8E-37181E1CC1E1}"/>
    <hyperlink ref="C3" r:id="rId2" xr:uid="{7A67CB8B-9790-46B7-A29A-C48960680836}"/>
    <hyperlink ref="C4" r:id="rId3" xr:uid="{F9B125B5-7D45-4908-9DFE-E537D4D6CE75}"/>
    <hyperlink ref="C5" r:id="rId4" xr:uid="{827174F5-82E6-4773-B18C-EEFE2D937D36}"/>
    <hyperlink ref="C6" r:id="rId5" xr:uid="{4C62E8EF-8DF8-4CF7-80B7-048EB3B932E9}"/>
  </hyperlinks>
  <pageMargins left="0.7" right="0.7" top="0.75" bottom="0.75" header="0.3" footer="0.3"/>
  <pageSetup paperSize="9" orientation="portrait" r:id="rId6"/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193FF-96E1-4347-BAA0-045F345E9C54}">
  <sheetPr codeName="Лист1"/>
  <dimension ref="A1:C3"/>
  <sheetViews>
    <sheetView showGridLines="0" tabSelected="1" workbookViewId="0">
      <selection activeCell="H8" sqref="H8"/>
    </sheetView>
  </sheetViews>
  <sheetFormatPr defaultRowHeight="14.4" x14ac:dyDescent="0.3"/>
  <sheetData>
    <row r="1" spans="1:3" x14ac:dyDescent="0.3">
      <c r="A1" t="s">
        <v>11</v>
      </c>
      <c r="B1" t="s">
        <v>12</v>
      </c>
      <c r="C1" t="s">
        <v>13</v>
      </c>
    </row>
    <row r="2" spans="1:3" x14ac:dyDescent="0.3">
      <c r="A2" t="s">
        <v>97</v>
      </c>
      <c r="B2">
        <v>1</v>
      </c>
      <c r="C2" t="s">
        <v>14</v>
      </c>
    </row>
    <row r="3" spans="1:3" x14ac:dyDescent="0.3">
      <c r="A3" t="s">
        <v>15</v>
      </c>
      <c r="B3">
        <v>1</v>
      </c>
      <c r="C3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Students</vt:lpstr>
      <vt:lpstr>Otchet</vt:lpstr>
      <vt:lpstr>Materials</vt:lpstr>
      <vt:lpstr>Authorization</vt:lpstr>
      <vt:lpstr>Otchet</vt:lpstr>
      <vt:lpstr>student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HInko</dc:creator>
  <cp:lastModifiedBy>HInko</cp:lastModifiedBy>
  <dcterms:created xsi:type="dcterms:W3CDTF">2015-06-05T18:19:34Z</dcterms:created>
  <dcterms:modified xsi:type="dcterms:W3CDTF">2023-05-04T09:05:55Z</dcterms:modified>
</cp:coreProperties>
</file>